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Nguyen Hoang Anh</author>
    <author>ANa</author>
  </authors>
  <commentList>
    <comment ref="A5" authorId="0">
      <text>
        <r>
          <rPr>
            <sz val="8"/>
            <rFont val="Tahoma"/>
            <charset val="0"/>
          </rPr>
          <t xml:space="preserve">Not mandatory
</t>
        </r>
      </text>
    </comment>
    <comment ref="C10" authorId="1">
      <text>
        <r>
          <rPr>
            <sz val="8"/>
            <rFont val="Tahoma"/>
            <charset val="0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<sst xmlns="http://schemas.openxmlformats.org/spreadsheetml/2006/main" count="92" uniqueCount="53">
  <si>
    <t>Function Code</t>
  </si>
  <si>
    <t>FC_ACSV01</t>
  </si>
  <si>
    <t>Function Name</t>
  </si>
  <si>
    <t>registerAccount</t>
  </si>
  <si>
    <t>Created By</t>
  </si>
  <si>
    <t>Lê Anh Tuấn</t>
  </si>
  <si>
    <t>Executed By</t>
  </si>
  <si>
    <t>Lines  of code</t>
  </si>
  <si>
    <t>Lack of test cases</t>
  </si>
  <si>
    <t>Test requirement</t>
  </si>
  <si>
    <t>none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</si>
  <si>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</si>
  <si>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</si>
  <si>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</si>
  <si>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</si>
  <si>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</si>
  <si>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</si>
  <si>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</si>
  <si>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</si>
  <si>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</si>
  <si>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</si>
  <si>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Condition</t>
  </si>
  <si>
    <t xml:space="preserve">Precondition </t>
  </si>
  <si>
    <t>None</t>
  </si>
  <si>
    <t>Username</t>
  </si>
  <si>
    <t>'john123'</t>
  </si>
  <si>
    <t>O</t>
  </si>
  <si>
    <t>null</t>
  </si>
  <si>
    <t>'alice'</t>
  </si>
  <si>
    <t>'bob123'</t>
  </si>
  <si>
    <t>'carol'</t>
  </si>
  <si>
    <t>Password</t>
  </si>
  <si>
    <t>'pass123'</t>
  </si>
  <si>
    <t>'short'</t>
  </si>
  <si>
    <t>'password'</t>
  </si>
  <si>
    <t>Email</t>
  </si>
  <si>
    <t>'john@example.com'</t>
  </si>
  <si>
    <t>'alice@mail.com'</t>
  </si>
  <si>
    <t>'bobmail.com'</t>
  </si>
  <si>
    <t>'carol@domain.com'</t>
  </si>
  <si>
    <t>Confirm</t>
  </si>
  <si>
    <t>Return</t>
  </si>
  <si>
    <t>T</t>
  </si>
  <si>
    <t>F</t>
  </si>
  <si>
    <t>Exception</t>
  </si>
  <si>
    <t>Result</t>
  </si>
  <si>
    <t>Type(N : Normal, A : Abnormal, B : Boundary)</t>
  </si>
  <si>
    <t>N</t>
  </si>
  <si>
    <t>Passed/Failed</t>
  </si>
  <si>
    <t>P</t>
  </si>
  <si>
    <t>Executed Date</t>
  </si>
  <si>
    <t>19/01/2026</t>
  </si>
  <si>
    <t>Defect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</si>
</sst>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mm\-yy;@"/>
    <numFmt numFmtId="179" formatCode="[$-409]h:mm:ss\ AM/PM;@"/>
    <numFmt numFmtId="180" formatCode="mm/dd"/>
  </numFmts>
  <fonts count="31">
    <font>
      <sz val="11"/>
      <color theme="1"/>
      <name val="Calibri"/>
      <charset val="134"/>
      <scheme val="minor"/>
    </font>
    <font>
      <sz val="8"/>
      <name val="Tahoma"/>
      <charset val="0"/>
    </font>
    <font>
      <b/>
      <sz val="8"/>
      <name val="Tahoma"/>
      <charset val="0"/>
    </font>
    <font>
      <i/>
      <sz val="8"/>
      <name val="Tahoma"/>
      <charset val="0"/>
    </font>
    <font>
      <b/>
      <sz val="10"/>
      <color indexed="9"/>
      <name val="Tahoma"/>
      <charset val="0"/>
    </font>
    <font>
      <b/>
      <sz val="8"/>
      <color indexed="9"/>
      <name val="Tahoma"/>
      <charset val="0"/>
    </font>
    <font>
      <sz val="8"/>
      <color indexed="9"/>
      <name val="Tahoma"/>
      <charset val="0"/>
    </font>
    <font>
      <b/>
      <sz val="12"/>
      <name val="Tahoma"/>
      <charset val="0"/>
    </font>
    <font>
      <sz val="11"/>
      <name val="Tahoma"/>
      <charset val="0"/>
    </font>
    <font>
      <sz val="8"/>
      <color indexed="17"/>
      <name val="Tahoma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  <font>
      <sz val="8"/>
      <name val="Tahoma"/>
      <charset val="0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8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double">
        <color auto="1"/>
      </left>
      <right style="hair">
        <color indexed="8"/>
      </right>
      <top style="double">
        <color auto="1"/>
      </top>
      <bottom style="medium">
        <color indexed="9"/>
      </bottom>
      <diagonal/>
    </border>
    <border>
      <left/>
      <right/>
      <top style="double">
        <color auto="1"/>
      </top>
      <bottom style="medium">
        <color indexed="9"/>
      </bottom>
      <diagonal/>
    </border>
    <border>
      <left style="double">
        <color auto="1"/>
      </left>
      <right style="thin">
        <color auto="1"/>
      </right>
      <top style="medium">
        <color indexed="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auto="1"/>
      </top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 style="medium">
        <color indexed="9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5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2" applyNumberFormat="0" applyFill="0" applyAlignment="0" applyProtection="0">
      <alignment vertical="center"/>
    </xf>
    <xf numFmtId="0" fontId="16" fillId="0" borderId="52" applyNumberFormat="0" applyFill="0" applyAlignment="0" applyProtection="0">
      <alignment vertical="center"/>
    </xf>
    <xf numFmtId="0" fontId="17" fillId="0" borderId="5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4" applyNumberFormat="0" applyAlignment="0" applyProtection="0">
      <alignment vertical="center"/>
    </xf>
    <xf numFmtId="0" fontId="19" fillId="9" borderId="55" applyNumberFormat="0" applyAlignment="0" applyProtection="0">
      <alignment vertical="center"/>
    </xf>
    <xf numFmtId="0" fontId="20" fillId="9" borderId="54" applyNumberFormat="0" applyAlignment="0" applyProtection="0">
      <alignment vertical="center"/>
    </xf>
    <xf numFmtId="0" fontId="21" fillId="10" borderId="56" applyNumberFormat="0" applyAlignment="0" applyProtection="0">
      <alignment vertical="center"/>
    </xf>
    <xf numFmtId="0" fontId="22" fillId="0" borderId="57" applyNumberFormat="0" applyFill="0" applyAlignment="0" applyProtection="0">
      <alignment vertical="center"/>
    </xf>
    <xf numFmtId="0" fontId="23" fillId="0" borderId="5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29" fillId="0" borderId="0"/>
  </cellStyleXfs>
  <cellXfs count="107">
    <xf numFmtId="0" fontId="0" fillId="0" borderId="0" xfId="0">
      <alignment vertical="center"/>
    </xf>
    <xf numFmtId="0" fontId="1" fillId="0" borderId="0" xfId="49" applyFont="1"/>
    <xf numFmtId="0" fontId="2" fillId="0" borderId="0" xfId="49" applyFont="1" applyAlignment="1">
      <alignment horizontal="left"/>
    </xf>
    <xf numFmtId="0" fontId="1" fillId="0" borderId="0" xfId="49" applyFont="1" applyAlignment="1">
      <alignment horizontal="right"/>
    </xf>
    <xf numFmtId="0" fontId="1" fillId="0" borderId="1" xfId="49" applyFont="1" applyBorder="1"/>
    <xf numFmtId="0" fontId="2" fillId="0" borderId="1" xfId="49" applyFont="1" applyBorder="1" applyAlignment="1">
      <alignment horizontal="left"/>
    </xf>
    <xf numFmtId="0" fontId="2" fillId="2" borderId="2" xfId="50" applyFont="1" applyFill="1" applyBorder="1" applyAlignment="1">
      <alignment horizontal="left" wrapText="1"/>
    </xf>
    <xf numFmtId="0" fontId="2" fillId="2" borderId="3" xfId="50" applyFont="1" applyFill="1" applyBorder="1" applyAlignment="1">
      <alignment horizontal="left" wrapText="1"/>
    </xf>
    <xf numFmtId="49" fontId="3" fillId="2" borderId="4" xfId="50" applyNumberFormat="1" applyFont="1" applyFill="1" applyBorder="1" applyAlignment="1">
      <alignment horizontal="left" wrapText="1"/>
    </xf>
    <xf numFmtId="0" fontId="3" fillId="2" borderId="3" xfId="50" applyFont="1" applyFill="1" applyBorder="1" applyAlignment="1">
      <alignment horizontal="left" wrapText="1"/>
    </xf>
    <xf numFmtId="0" fontId="3" fillId="2" borderId="5" xfId="50" applyFont="1" applyFill="1" applyBorder="1" applyAlignment="1">
      <alignment horizontal="left" wrapText="1"/>
    </xf>
    <xf numFmtId="0" fontId="2" fillId="2" borderId="6" xfId="50" applyFont="1" applyFill="1" applyBorder="1" applyAlignment="1">
      <alignment horizontal="left" wrapText="1"/>
    </xf>
    <xf numFmtId="0" fontId="2" fillId="2" borderId="7" xfId="50" applyFont="1" applyFill="1" applyBorder="1" applyAlignment="1">
      <alignment horizontal="left" wrapText="1"/>
    </xf>
    <xf numFmtId="0" fontId="2" fillId="2" borderId="8" xfId="50" applyFont="1" applyFill="1" applyBorder="1" applyAlignment="1">
      <alignment horizontal="left" wrapText="1"/>
    </xf>
    <xf numFmtId="0" fontId="2" fillId="2" borderId="9" xfId="50" applyFont="1" applyFill="1" applyBorder="1" applyAlignment="1">
      <alignment horizontal="left" wrapText="1"/>
    </xf>
    <xf numFmtId="0" fontId="3" fillId="2" borderId="10" xfId="50" applyFont="1" applyFill="1" applyBorder="1" applyAlignment="1">
      <alignment horizontal="left" wrapText="1"/>
    </xf>
    <xf numFmtId="0" fontId="3" fillId="2" borderId="11" xfId="50" applyFont="1" applyFill="1" applyBorder="1" applyAlignment="1">
      <alignment horizontal="left" wrapText="1"/>
    </xf>
    <xf numFmtId="0" fontId="3" fillId="2" borderId="12" xfId="50" applyFont="1" applyFill="1" applyBorder="1" applyAlignment="1">
      <alignment horizontal="left" wrapText="1"/>
    </xf>
    <xf numFmtId="0" fontId="2" fillId="2" borderId="13" xfId="50" applyFont="1" applyFill="1" applyBorder="1" applyAlignment="1">
      <alignment horizontal="left" wrapText="1"/>
    </xf>
    <xf numFmtId="0" fontId="2" fillId="2" borderId="14" xfId="50" applyFont="1" applyFill="1" applyBorder="1" applyAlignment="1">
      <alignment horizontal="left" wrapText="1"/>
    </xf>
    <xf numFmtId="0" fontId="3" fillId="2" borderId="15" xfId="50" applyFont="1" applyFill="1" applyBorder="1" applyAlignment="1">
      <alignment horizontal="center" wrapText="1"/>
    </xf>
    <xf numFmtId="0" fontId="3" fillId="2" borderId="16" xfId="50" applyFont="1" applyFill="1" applyBorder="1" applyAlignment="1">
      <alignment horizontal="center" wrapText="1"/>
    </xf>
    <xf numFmtId="0" fontId="3" fillId="2" borderId="16" xfId="50" applyFont="1" applyFill="1" applyBorder="1" applyAlignment="1">
      <alignment horizontal="left" wrapText="1"/>
    </xf>
    <xf numFmtId="0" fontId="3" fillId="2" borderId="17" xfId="50" applyFont="1" applyFill="1" applyBorder="1" applyAlignment="1">
      <alignment horizontal="left" wrapText="1"/>
    </xf>
    <xf numFmtId="0" fontId="3" fillId="2" borderId="18" xfId="50" applyFont="1" applyFill="1" applyBorder="1" applyAlignment="1">
      <alignment horizontal="left" wrapText="1"/>
    </xf>
    <xf numFmtId="0" fontId="2" fillId="2" borderId="8" xfId="49" applyFont="1" applyFill="1" applyBorder="1" applyAlignment="1">
      <alignment horizontal="center" vertical="center"/>
    </xf>
    <xf numFmtId="0" fontId="2" fillId="2" borderId="9" xfId="49" applyFont="1" applyFill="1" applyBorder="1" applyAlignment="1">
      <alignment horizontal="center" vertical="center"/>
    </xf>
    <xf numFmtId="0" fontId="2" fillId="2" borderId="15" xfId="49" applyFont="1" applyFill="1" applyBorder="1" applyAlignment="1">
      <alignment horizontal="center" vertical="center" wrapText="1"/>
    </xf>
    <xf numFmtId="0" fontId="2" fillId="2" borderId="16" xfId="49" applyFont="1" applyFill="1" applyBorder="1" applyAlignment="1">
      <alignment horizontal="center" vertical="center" wrapText="1"/>
    </xf>
    <xf numFmtId="0" fontId="2" fillId="2" borderId="9" xfId="49" applyFont="1" applyFill="1" applyBorder="1" applyAlignment="1">
      <alignment horizontal="center" vertical="center" wrapText="1"/>
    </xf>
    <xf numFmtId="0" fontId="1" fillId="2" borderId="19" xfId="49" applyFont="1" applyFill="1" applyBorder="1" applyAlignment="1">
      <alignment horizontal="center" vertical="center"/>
    </xf>
    <xf numFmtId="0" fontId="1" fillId="2" borderId="20" xfId="49" applyFont="1" applyFill="1" applyBorder="1" applyAlignment="1">
      <alignment horizontal="center" vertical="center"/>
    </xf>
    <xf numFmtId="0" fontId="1" fillId="2" borderId="21" xfId="49" applyFont="1" applyFill="1" applyBorder="1" applyAlignment="1">
      <alignment horizontal="center" vertical="center"/>
    </xf>
    <xf numFmtId="0" fontId="1" fillId="2" borderId="22" xfId="49" applyFont="1" applyFill="1" applyBorder="1" applyAlignment="1">
      <alignment horizontal="center" vertical="center"/>
    </xf>
    <xf numFmtId="178" fontId="4" fillId="3" borderId="23" xfId="49" applyNumberFormat="1" applyFont="1" applyFill="1" applyBorder="1" applyAlignment="1">
      <alignment horizontal="center" vertical="center"/>
    </xf>
    <xf numFmtId="0" fontId="5" fillId="4" borderId="24" xfId="49" applyFont="1" applyFill="1" applyBorder="1" applyAlignment="1">
      <alignment horizontal="left"/>
    </xf>
    <xf numFmtId="0" fontId="6" fillId="4" borderId="24" xfId="49" applyFont="1" applyFill="1" applyBorder="1"/>
    <xf numFmtId="0" fontId="6" fillId="4" borderId="24" xfId="49" applyFont="1" applyFill="1" applyBorder="1" applyAlignment="1">
      <alignment horizontal="right"/>
    </xf>
    <xf numFmtId="0" fontId="5" fillId="4" borderId="24" xfId="49" applyFont="1" applyFill="1" applyBorder="1" applyAlignment="1">
      <alignment vertical="top" textRotation="180"/>
    </xf>
    <xf numFmtId="0" fontId="5" fillId="4" borderId="25" xfId="49" applyFont="1" applyFill="1" applyBorder="1" applyAlignment="1">
      <alignment vertical="center"/>
    </xf>
    <xf numFmtId="0" fontId="2" fillId="5" borderId="26" xfId="49" applyFont="1" applyFill="1" applyBorder="1" applyAlignment="1">
      <alignment horizontal="left" vertical="top"/>
    </xf>
    <xf numFmtId="0" fontId="1" fillId="5" borderId="27" xfId="49" applyFont="1" applyFill="1" applyBorder="1" applyAlignment="1">
      <alignment horizontal="center" vertical="top"/>
    </xf>
    <xf numFmtId="0" fontId="1" fillId="5" borderId="28" xfId="49" applyFont="1" applyFill="1" applyBorder="1" applyAlignment="1">
      <alignment horizontal="right" vertical="top"/>
    </xf>
    <xf numFmtId="0" fontId="3" fillId="6" borderId="0" xfId="49" applyFont="1" applyFill="1" applyBorder="1" applyAlignment="1">
      <alignment horizontal="right"/>
    </xf>
    <xf numFmtId="0" fontId="7" fillId="0" borderId="29" xfId="49" applyFont="1" applyBorder="1" applyAlignment="1">
      <alignment horizontal="center"/>
    </xf>
    <xf numFmtId="0" fontId="5" fillId="4" borderId="30" xfId="49" applyFont="1" applyFill="1" applyBorder="1" applyAlignment="1">
      <alignment vertical="center"/>
    </xf>
    <xf numFmtId="0" fontId="2" fillId="5" borderId="13" xfId="49" applyFont="1" applyFill="1" applyBorder="1" applyAlignment="1">
      <alignment horizontal="left" vertical="top"/>
    </xf>
    <xf numFmtId="0" fontId="1" fillId="5" borderId="14" xfId="49" applyFont="1" applyFill="1" applyBorder="1" applyAlignment="1">
      <alignment horizontal="center" vertical="top"/>
    </xf>
    <xf numFmtId="0" fontId="1" fillId="5" borderId="31" xfId="49" applyFont="1" applyFill="1" applyBorder="1" applyAlignment="1">
      <alignment horizontal="right" vertical="top"/>
    </xf>
    <xf numFmtId="0" fontId="7" fillId="0" borderId="32" xfId="49" applyFont="1" applyBorder="1" applyAlignment="1">
      <alignment horizontal="center"/>
    </xf>
    <xf numFmtId="0" fontId="1" fillId="6" borderId="0" xfId="49" applyFont="1" applyFill="1" applyBorder="1" applyAlignment="1">
      <alignment horizontal="right"/>
    </xf>
    <xf numFmtId="0" fontId="1" fillId="0" borderId="0" xfId="49" applyFont="1" applyBorder="1" applyAlignment="1">
      <alignment horizontal="right"/>
    </xf>
    <xf numFmtId="0" fontId="5" fillId="4" borderId="25" xfId="49" applyFont="1" applyFill="1" applyBorder="1" applyAlignment="1">
      <alignment vertical="top"/>
    </xf>
    <xf numFmtId="0" fontId="2" fillId="5" borderId="26" xfId="49" applyFont="1" applyFill="1" applyBorder="1" applyAlignment="1"/>
    <xf numFmtId="0" fontId="2" fillId="5" borderId="27" xfId="49" applyFont="1" applyFill="1" applyBorder="1" applyAlignment="1"/>
    <xf numFmtId="0" fontId="1" fillId="5" borderId="28" xfId="49" applyFont="1" applyFill="1" applyBorder="1" applyAlignment="1">
      <alignment horizontal="right"/>
    </xf>
    <xf numFmtId="0" fontId="1" fillId="6" borderId="29" xfId="49" applyFont="1" applyFill="1" applyBorder="1" applyAlignment="1">
      <alignment horizontal="left"/>
    </xf>
    <xf numFmtId="0" fontId="5" fillId="4" borderId="30" xfId="49" applyFont="1" applyFill="1" applyBorder="1" applyAlignment="1">
      <alignment vertical="top"/>
    </xf>
    <xf numFmtId="0" fontId="2" fillId="5" borderId="13" xfId="49" applyFont="1" applyFill="1" applyBorder="1" applyAlignment="1"/>
    <xf numFmtId="0" fontId="1" fillId="5" borderId="14" xfId="49" applyFont="1" applyFill="1" applyBorder="1" applyAlignment="1"/>
    <xf numFmtId="0" fontId="1" fillId="5" borderId="31" xfId="49" applyFont="1" applyFill="1" applyBorder="1" applyAlignment="1">
      <alignment horizontal="right"/>
    </xf>
    <xf numFmtId="0" fontId="1" fillId="6" borderId="32" xfId="49" applyFont="1" applyFill="1" applyBorder="1" applyAlignment="1">
      <alignment horizontal="left"/>
    </xf>
    <xf numFmtId="0" fontId="8" fillId="5" borderId="14" xfId="49" applyFont="1" applyFill="1" applyBorder="1" applyAlignment="1"/>
    <xf numFmtId="0" fontId="1" fillId="6" borderId="32" xfId="49" applyFont="1" applyFill="1" applyBorder="1"/>
    <xf numFmtId="0" fontId="1" fillId="0" borderId="33" xfId="49" applyFont="1" applyFill="1" applyBorder="1" applyAlignment="1">
      <alignment horizontal="left"/>
    </xf>
    <xf numFmtId="0" fontId="1" fillId="0" borderId="33" xfId="49" applyFont="1" applyBorder="1" applyAlignment="1">
      <alignment horizontal="center"/>
    </xf>
    <xf numFmtId="0" fontId="1" fillId="0" borderId="32" xfId="49" applyFont="1" applyBorder="1" applyAlignment="1">
      <alignment horizontal="left"/>
    </xf>
    <xf numFmtId="0" fontId="9" fillId="0" borderId="32" xfId="49" applyFont="1" applyBorder="1" applyAlignment="1">
      <alignment horizontal="left"/>
    </xf>
    <xf numFmtId="0" fontId="1" fillId="0" borderId="32" xfId="49" applyFont="1" applyBorder="1" applyAlignment="1">
      <alignment horizontal="center"/>
    </xf>
    <xf numFmtId="0" fontId="1" fillId="0" borderId="32" xfId="49" applyFont="1" applyBorder="1" applyAlignment="1">
      <alignment horizontal="left" vertical="top"/>
    </xf>
    <xf numFmtId="0" fontId="1" fillId="0" borderId="32" xfId="49" applyFont="1" applyBorder="1"/>
    <xf numFmtId="179" fontId="1" fillId="0" borderId="32" xfId="49" applyNumberFormat="1" applyFont="1" applyBorder="1" applyAlignment="1">
      <alignment vertical="top" textRotation="255"/>
    </xf>
    <xf numFmtId="180" fontId="1" fillId="0" borderId="32" xfId="49" applyNumberFormat="1" applyFont="1" applyBorder="1" applyAlignment="1">
      <alignment vertical="top" textRotation="255"/>
    </xf>
    <xf numFmtId="0" fontId="5" fillId="4" borderId="34" xfId="49" applyFont="1" applyFill="1" applyBorder="1" applyAlignment="1">
      <alignment vertical="top"/>
    </xf>
    <xf numFmtId="0" fontId="1" fillId="0" borderId="35" xfId="49" applyFont="1" applyBorder="1" applyAlignment="1">
      <alignment horizontal="left" vertical="top"/>
    </xf>
    <xf numFmtId="0" fontId="1" fillId="0" borderId="35" xfId="49" applyFont="1" applyBorder="1"/>
    <xf numFmtId="0" fontId="1" fillId="0" borderId="35" xfId="49" applyFont="1" applyBorder="1" applyAlignment="1">
      <alignment textRotation="255"/>
    </xf>
    <xf numFmtId="0" fontId="5" fillId="0" borderId="0" xfId="49" applyFont="1" applyFill="1" applyBorder="1" applyAlignment="1">
      <alignment vertical="top"/>
    </xf>
    <xf numFmtId="49" fontId="1" fillId="2" borderId="4" xfId="50" applyNumberFormat="1" applyFont="1" applyFill="1" applyBorder="1" applyAlignment="1">
      <alignment horizontal="center" wrapText="1"/>
    </xf>
    <xf numFmtId="0" fontId="1" fillId="2" borderId="3" xfId="50" applyFont="1" applyFill="1" applyBorder="1" applyAlignment="1">
      <alignment horizontal="center" wrapText="1"/>
    </xf>
    <xf numFmtId="0" fontId="2" fillId="2" borderId="31" xfId="50" applyFont="1" applyFill="1" applyBorder="1" applyAlignment="1">
      <alignment horizontal="left" wrapText="1"/>
    </xf>
    <xf numFmtId="0" fontId="3" fillId="2" borderId="11" xfId="50" applyFont="1" applyFill="1" applyBorder="1" applyAlignment="1">
      <alignment horizontal="center" wrapText="1"/>
    </xf>
    <xf numFmtId="0" fontId="1" fillId="2" borderId="36" xfId="50" applyFont="1" applyFill="1" applyBorder="1" applyAlignment="1">
      <alignment horizontal="center" wrapText="1"/>
    </xf>
    <xf numFmtId="0" fontId="1" fillId="2" borderId="16" xfId="50" applyFont="1" applyFill="1" applyBorder="1" applyAlignment="1">
      <alignment horizontal="center" wrapText="1"/>
    </xf>
    <xf numFmtId="0" fontId="2" fillId="2" borderId="37" xfId="49" applyFont="1" applyFill="1" applyBorder="1" applyAlignment="1">
      <alignment horizontal="center" vertical="center" wrapText="1"/>
    </xf>
    <xf numFmtId="0" fontId="2" fillId="2" borderId="36" xfId="49" applyFont="1" applyFill="1" applyBorder="1" applyAlignment="1">
      <alignment horizontal="center" vertical="center" wrapText="1"/>
    </xf>
    <xf numFmtId="0" fontId="1" fillId="2" borderId="38" xfId="49" applyFont="1" applyFill="1" applyBorder="1" applyAlignment="1">
      <alignment horizontal="center" vertical="center"/>
    </xf>
    <xf numFmtId="0" fontId="1" fillId="2" borderId="39" xfId="49" applyNumberFormat="1" applyFont="1" applyFill="1" applyBorder="1" applyAlignment="1">
      <alignment horizontal="center" vertical="center"/>
    </xf>
    <xf numFmtId="0" fontId="1" fillId="2" borderId="39" xfId="49" applyFont="1" applyFill="1" applyBorder="1" applyAlignment="1">
      <alignment horizontal="center" vertical="center"/>
    </xf>
    <xf numFmtId="0" fontId="1" fillId="2" borderId="40" xfId="50" applyFont="1" applyFill="1" applyBorder="1" applyAlignment="1">
      <alignment horizontal="center" wrapText="1"/>
    </xf>
    <xf numFmtId="49" fontId="1" fillId="0" borderId="0" xfId="49" applyNumberFormat="1" applyFont="1"/>
    <xf numFmtId="0" fontId="3" fillId="2" borderId="41" xfId="50" applyFont="1" applyFill="1" applyBorder="1" applyAlignment="1">
      <alignment horizontal="center" wrapText="1"/>
    </xf>
    <xf numFmtId="0" fontId="1" fillId="2" borderId="42" xfId="50" applyFont="1" applyFill="1" applyBorder="1" applyAlignment="1">
      <alignment horizontal="center" wrapText="1"/>
    </xf>
    <xf numFmtId="0" fontId="2" fillId="2" borderId="43" xfId="49" applyFont="1" applyFill="1" applyBorder="1" applyAlignment="1">
      <alignment horizontal="center" vertical="center" wrapText="1"/>
    </xf>
    <xf numFmtId="0" fontId="1" fillId="2" borderId="44" xfId="49" applyFont="1" applyFill="1" applyBorder="1" applyAlignment="1">
      <alignment horizontal="center" vertical="center"/>
    </xf>
    <xf numFmtId="0" fontId="1" fillId="0" borderId="45" xfId="49" applyFont="1" applyBorder="1"/>
    <xf numFmtId="0" fontId="5" fillId="4" borderId="46" xfId="49" applyFont="1" applyFill="1" applyBorder="1" applyAlignment="1">
      <alignment vertical="top" textRotation="180"/>
    </xf>
    <xf numFmtId="0" fontId="2" fillId="0" borderId="0" xfId="49" applyFont="1" applyFill="1"/>
    <xf numFmtId="49" fontId="1" fillId="0" borderId="0" xfId="49" applyNumberFormat="1" applyFont="1" applyBorder="1"/>
    <xf numFmtId="0" fontId="1" fillId="0" borderId="0" xfId="49" applyFont="1" applyBorder="1"/>
    <xf numFmtId="0" fontId="7" fillId="0" borderId="47" xfId="49" applyFont="1" applyBorder="1" applyAlignment="1">
      <alignment horizontal="center"/>
    </xf>
    <xf numFmtId="0" fontId="7" fillId="0" borderId="48" xfId="49" applyFont="1" applyBorder="1" applyAlignment="1">
      <alignment horizontal="center"/>
    </xf>
    <xf numFmtId="0" fontId="2" fillId="0" borderId="0" xfId="49" applyFont="1" applyAlignment="1">
      <alignment horizontal="center"/>
    </xf>
    <xf numFmtId="0" fontId="1" fillId="0" borderId="49" xfId="49" applyFont="1" applyBorder="1" applyAlignment="1">
      <alignment horizontal="center"/>
    </xf>
    <xf numFmtId="0" fontId="1" fillId="0" borderId="48" xfId="49" applyFont="1" applyBorder="1" applyAlignment="1">
      <alignment horizontal="center"/>
    </xf>
    <xf numFmtId="180" fontId="1" fillId="0" borderId="48" xfId="49" applyNumberFormat="1" applyFont="1" applyBorder="1" applyAlignment="1">
      <alignment vertical="top" textRotation="255"/>
    </xf>
    <xf numFmtId="0" fontId="1" fillId="0" borderId="50" xfId="49" applyFont="1" applyBorder="1" applyAlignment="1">
      <alignment textRotation="255"/>
    </xf>
    <xf numFmtId="0" fontId="1" fillId="5" borderId="31" xfId="49" applyFont="1" applyFill="1" applyBorder="1" applyAlignment="1" quotePrefix="1">
      <alignment horizontal="right" vertical="top"/>
    </xf>
    <xf numFmtId="0" fontId="1" fillId="0" borderId="0" xfId="49" applyFont="1" applyBorder="1" applyAlignment="1" quotePrefix="1">
      <alignment horizontal="righ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Template_UnitTest Case_v0.9" xfId="49"/>
    <cellStyle name="Normal_Sheet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"/>
  <sheetViews>
    <sheetView tabSelected="1" workbookViewId="0">
      <selection activeCell="N7" sqref="N7"/>
    </sheetView>
  </sheetViews>
  <sheetFormatPr defaultColWidth="9" defaultRowHeight="13.5" customHeight="1"/>
  <cols>
    <col min="1" max="1" width="8.16666666666667" style="1" customWidth="1"/>
    <col min="2" max="2" width="13.3333333333333" style="2" customWidth="1"/>
    <col min="3" max="3" width="10.8333333333333" style="1" customWidth="1"/>
    <col min="4" max="4" width="11.3333333333333" style="3" customWidth="1"/>
    <col min="5" max="5" width="1.83333333333333" style="1" hidden="1" customWidth="1"/>
    <col min="6" max="7" width="2.83333333333333" style="1"/>
    <col min="8" max="8" width="2.83333333333333" style="1" customWidth="1"/>
    <col min="9" max="10" width="2.83333333333333" style="1"/>
    <col min="11" max="19" width="2.83333333333333" style="1" customWidth="1"/>
    <col min="20" max="20" width="2.83333333333333" style="1"/>
    <col min="21" max="21" width="2.83333333333333" style="1" customWidth="1"/>
    <col min="22" max="16384" width="9" style="1"/>
  </cols>
  <sheetData>
    <row r="1" s="1" customFormat="1" customHeight="1" spans="1:4">
      <c r="A1" s="4"/>
      <c r="B1" s="5"/>
      <c r="D1" s="3"/>
    </row>
    <row r="2" s="1" customFormat="1" customHeight="1" spans="1:22">
      <c r="A2" s="6" t="s">
        <v>0</v>
      </c>
      <c r="B2" s="7"/>
      <c r="C2" s="8" t="s">
        <v>1</v>
      </c>
      <c r="D2" s="9"/>
      <c r="E2" s="10"/>
      <c r="F2" s="11" t="s">
        <v>2</v>
      </c>
      <c r="G2" s="12"/>
      <c r="H2" s="12"/>
      <c r="I2" s="12"/>
      <c r="J2" s="12"/>
      <c r="K2" s="12"/>
      <c r="L2" s="78" t="s">
        <v>3</v>
      </c>
      <c r="M2" s="79"/>
      <c r="N2" s="79"/>
      <c r="O2" s="79"/>
      <c r="P2" s="79"/>
      <c r="Q2" s="79"/>
      <c r="R2" s="79"/>
      <c r="S2" s="79"/>
      <c r="T2" s="89"/>
      <c r="V2" s="90"/>
    </row>
    <row r="3" s="1" customFormat="1" customHeight="1" spans="1:20">
      <c r="A3" s="13" t="s">
        <v>4</v>
      </c>
      <c r="B3" s="14"/>
      <c r="C3" s="15" t="s">
        <v>5</v>
      </c>
      <c r="D3" s="16"/>
      <c r="E3" s="17"/>
      <c r="F3" s="18" t="s">
        <v>6</v>
      </c>
      <c r="G3" s="19"/>
      <c r="H3" s="19"/>
      <c r="I3" s="19"/>
      <c r="J3" s="19"/>
      <c r="K3" s="80"/>
      <c r="L3" s="81" t="s">
        <v>5</v>
      </c>
      <c r="M3" s="81"/>
      <c r="N3" s="81"/>
      <c r="O3" s="81"/>
      <c r="P3" s="81"/>
      <c r="Q3" s="81"/>
      <c r="R3" s="81"/>
      <c r="S3" s="81"/>
      <c r="T3" s="91"/>
    </row>
    <row r="4" s="1" customFormat="1" customHeight="1" spans="1:22">
      <c r="A4" s="13" t="s">
        <v>7</v>
      </c>
      <c r="B4" s="14"/>
      <c r="C4" s="20">
        <v>7</v>
      </c>
      <c r="D4" s="21"/>
      <c r="E4" s="22"/>
      <c r="F4" s="18" t="s">
        <v>8</v>
      </c>
      <c r="G4" s="19"/>
      <c r="H4" s="19"/>
      <c r="I4" s="19"/>
      <c r="J4" s="19"/>
      <c r="K4" s="80"/>
      <c r="L4" s="82">
        <v>0</v>
      </c>
      <c r="M4" s="83"/>
      <c r="N4" s="83"/>
      <c r="O4" s="83"/>
      <c r="P4" s="83"/>
      <c r="Q4" s="83"/>
      <c r="R4" s="83"/>
      <c r="S4" s="83"/>
      <c r="T4" s="92"/>
      <c r="V4" s="90"/>
    </row>
    <row r="5" s="1" customFormat="1" customHeight="1" spans="1:20">
      <c r="A5" s="13" t="s">
        <v>9</v>
      </c>
      <c r="B5" s="14"/>
      <c r="C5" s="23" t="s">
        <v>10</v>
      </c>
      <c r="D5" s="23"/>
      <c r="E5" s="23"/>
      <c r="F5" s="24"/>
      <c r="G5" s="24"/>
      <c r="H5" s="24"/>
      <c r="I5" s="24"/>
      <c r="J5" s="24"/>
      <c r="K5" s="24"/>
      <c r="L5" s="23"/>
      <c r="M5" s="23"/>
      <c r="N5" s="23"/>
      <c r="O5" s="23"/>
      <c r="P5" s="23"/>
      <c r="Q5" s="23"/>
      <c r="R5" s="23"/>
      <c r="S5" s="23"/>
      <c r="T5" s="23"/>
    </row>
    <row r="6" s="1" customFormat="1" customHeight="1" spans="1:22">
      <c r="A6" s="25" t="s">
        <v>11</v>
      </c>
      <c r="B6" s="26"/>
      <c r="C6" s="27" t="s">
        <v>12</v>
      </c>
      <c r="D6" s="28"/>
      <c r="E6" s="29"/>
      <c r="F6" s="27" t="s">
        <v>13</v>
      </c>
      <c r="G6" s="28"/>
      <c r="H6" s="28"/>
      <c r="I6" s="28"/>
      <c r="J6" s="28"/>
      <c r="K6" s="84"/>
      <c r="L6" s="28" t="s">
        <v>14</v>
      </c>
      <c r="M6" s="28"/>
      <c r="N6" s="28"/>
      <c r="O6" s="85" t="s">
        <v>15</v>
      </c>
      <c r="P6" s="28"/>
      <c r="Q6" s="28"/>
      <c r="R6" s="28"/>
      <c r="S6" s="28"/>
      <c r="T6" s="93"/>
      <c r="V6" s="90"/>
    </row>
    <row r="7" s="1" customFormat="1" customHeight="1" spans="1:21">
      <c r="A7" s="30">
        <f>COUNTIF(F34:HQ34,"P")</f>
        <v>5</v>
      </c>
      <c r="B7" s="31"/>
      <c r="C7" s="32">
        <f>COUNTIF(F34:HQ34,"F")</f>
        <v>0</v>
      </c>
      <c r="D7" s="33"/>
      <c r="E7" s="31"/>
      <c r="F7" s="32">
        <f>SUM(O7,-A7,-C7)</f>
        <v>0</v>
      </c>
      <c r="G7" s="33"/>
      <c r="H7" s="33"/>
      <c r="I7" s="33"/>
      <c r="J7" s="33"/>
      <c r="K7" s="86"/>
      <c r="L7" s="87">
        <f>COUNTIF(E33:HQ33,"N")</f>
        <v>5</v>
      </c>
      <c r="M7" s="87">
        <f>COUNTIF(E33:HQ33,"A")</f>
        <v>0</v>
      </c>
      <c r="N7" s="87">
        <f>COUNTIF(E33:HQ33,"B")</f>
        <v>0</v>
      </c>
      <c r="O7" s="88">
        <f>COUNTA(E9:HT9)</f>
        <v>5</v>
      </c>
      <c r="P7" s="33"/>
      <c r="Q7" s="33"/>
      <c r="R7" s="33"/>
      <c r="S7" s="33"/>
      <c r="T7" s="94"/>
      <c r="U7" s="95"/>
    </row>
    <row r="8"/>
    <row r="9" s="1" customFormat="1" ht="46.5" customHeight="1" spans="1:23">
      <c r="A9" s="34"/>
      <c r="B9" s="35"/>
      <c r="C9" s="36"/>
      <c r="D9" s="37"/>
      <c r="E9" s="36"/>
      <c r="F9" s="38" t="s">
        <v>16</v>
      </c>
      <c r="G9" s="38" t="s">
        <v>17</v>
      </c>
      <c r="H9" s="38" t="s">
        <v>18</v>
      </c>
      <c r="I9" s="38" t="s">
        <v>19</v>
      </c>
      <c r="J9" s="38" t="s">
        <v>20</v>
      </c>
      <c r="K9" s="38"/>
      <c r="L9" s="38"/>
      <c r="M9" s="38"/>
      <c r="N9" s="38"/>
      <c r="O9" s="38"/>
      <c r="P9" s="38"/>
      <c r="Q9" s="38"/>
      <c r="R9" s="38"/>
      <c r="S9" s="38"/>
      <c r="T9" s="96"/>
      <c r="U9" s="97"/>
      <c r="V9" s="98"/>
      <c r="W9" s="99"/>
    </row>
    <row r="10" s="1" customFormat="1" customHeight="1" spans="1:20">
      <c r="A10" s="39" t="s">
        <v>21</v>
      </c>
      <c r="B10" s="40" t="s">
        <v>22</v>
      </c>
      <c r="C10" s="41"/>
      <c r="D10" s="42"/>
      <c r="E10" s="43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100"/>
    </row>
    <row r="11" s="1" customFormat="1" customHeight="1" spans="1:22">
      <c r="A11" s="45"/>
      <c r="B11" s="46"/>
      <c r="C11" s="47"/>
      <c r="D11" s="48" t="s">
        <v>23</v>
      </c>
      <c r="E11" s="43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101"/>
      <c r="V11" s="90"/>
    </row>
    <row r="12" s="1" customFormat="1" customHeight="1" spans="1:20">
      <c r="A12" s="45"/>
      <c r="B12" s="46" t="s">
        <v>24</v>
      </c>
      <c r="C12" s="47"/>
      <c r="D12" s="48"/>
      <c r="E12" s="50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101"/>
    </row>
    <row r="13" s="1" customFormat="1" customHeight="1" spans="1:20">
      <c r="A13" s="45"/>
      <c r="B13" s="46"/>
      <c r="C13" s="47"/>
      <c r="D13" s="107" t="s">
        <v>25</v>
      </c>
      <c r="E13" s="50"/>
      <c r="F13" s="49" t="s">
        <v>26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101"/>
    </row>
    <row r="14" s="1" customFormat="1" customHeight="1" spans="1:20">
      <c r="A14" s="45"/>
      <c r="B14" s="46"/>
      <c r="C14" s="47"/>
      <c r="D14" s="48" t="s">
        <v>27</v>
      </c>
      <c r="E14" s="50"/>
      <c r="F14" s="49"/>
      <c r="G14" s="49" t="s">
        <v>26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101"/>
    </row>
    <row r="15" s="1" customFormat="1" customHeight="1" spans="1:20">
      <c r="A15" s="45"/>
      <c r="B15" s="46"/>
      <c r="C15" s="47"/>
      <c r="D15" s="107" t="s">
        <v>28</v>
      </c>
      <c r="E15" s="50"/>
      <c r="F15" s="49"/>
      <c r="G15" s="49"/>
      <c r="H15" s="49" t="s">
        <v>26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101"/>
    </row>
    <row r="16" s="1" customFormat="1" customHeight="1" spans="1:20">
      <c r="A16" s="45"/>
      <c r="B16" s="46"/>
      <c r="C16" s="47"/>
      <c r="D16" s="107" t="s">
        <v>29</v>
      </c>
      <c r="E16" s="50"/>
      <c r="F16" s="49"/>
      <c r="G16" s="49"/>
      <c r="H16" s="49"/>
      <c r="I16" s="49" t="s">
        <v>26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101"/>
    </row>
    <row r="17" s="1" customFormat="1" customHeight="1" spans="1:21">
      <c r="A17" s="45"/>
      <c r="B17" s="46"/>
      <c r="C17" s="47"/>
      <c r="D17" s="107" t="s">
        <v>30</v>
      </c>
      <c r="E17" s="50"/>
      <c r="F17" s="49"/>
      <c r="G17" s="49"/>
      <c r="H17" s="49"/>
      <c r="I17" s="49"/>
      <c r="J17" s="49" t="s">
        <v>26</v>
      </c>
      <c r="K17" s="49"/>
      <c r="L17" s="49"/>
      <c r="M17" s="49"/>
      <c r="N17" s="49"/>
      <c r="O17" s="49"/>
      <c r="P17" s="49"/>
      <c r="Q17" s="49"/>
      <c r="R17" s="49"/>
      <c r="S17" s="49"/>
      <c r="T17" s="101"/>
      <c r="U17" s="102"/>
    </row>
    <row r="18" s="1" customFormat="1" customHeight="1" spans="1:21">
      <c r="A18" s="45"/>
      <c r="B18" s="46" t="s">
        <v>31</v>
      </c>
      <c r="C18" s="47"/>
      <c r="D18" s="48"/>
      <c r="E18" s="50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101"/>
      <c r="U18" s="102"/>
    </row>
    <row r="19" s="1" customFormat="1" customHeight="1" spans="1:20">
      <c r="A19" s="45"/>
      <c r="B19" s="46"/>
      <c r="C19" s="47"/>
      <c r="D19" s="108" t="s">
        <v>32</v>
      </c>
      <c r="E19" s="51"/>
      <c r="F19" s="49" t="s">
        <v>26</v>
      </c>
      <c r="G19" s="49" t="s">
        <v>26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101"/>
    </row>
    <row r="20" s="1" customFormat="1" customHeight="1" spans="1:20">
      <c r="A20" s="45"/>
      <c r="B20" s="46"/>
      <c r="C20" s="47"/>
      <c r="D20" s="107" t="s">
        <v>33</v>
      </c>
      <c r="E20" s="50"/>
      <c r="F20" s="49"/>
      <c r="G20" s="49"/>
      <c r="H20" s="49" t="s">
        <v>26</v>
      </c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101"/>
    </row>
    <row r="21" s="1" customFormat="1" customHeight="1" spans="1:20">
      <c r="A21" s="45"/>
      <c r="B21" s="46"/>
      <c r="C21" s="47"/>
      <c r="D21" s="107" t="s">
        <v>34</v>
      </c>
      <c r="E21" s="50"/>
      <c r="F21" s="49"/>
      <c r="G21" s="49"/>
      <c r="H21" s="49"/>
      <c r="I21" s="49" t="s">
        <v>26</v>
      </c>
      <c r="J21" s="49" t="s">
        <v>26</v>
      </c>
      <c r="K21" s="49"/>
      <c r="L21" s="49"/>
      <c r="M21" s="49"/>
      <c r="N21" s="49"/>
      <c r="O21" s="49"/>
      <c r="P21" s="49"/>
      <c r="Q21" s="49"/>
      <c r="R21" s="49"/>
      <c r="S21" s="49"/>
      <c r="T21" s="101"/>
    </row>
    <row r="22" s="1" customFormat="1" customHeight="1" spans="1:20">
      <c r="A22" s="45"/>
      <c r="B22" s="46" t="s">
        <v>35</v>
      </c>
      <c r="C22" s="47"/>
      <c r="D22" s="48"/>
      <c r="E22" s="50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101"/>
    </row>
    <row r="23" s="1" customFormat="1" customHeight="1" spans="1:20">
      <c r="A23" s="45"/>
      <c r="B23" s="46"/>
      <c r="C23" s="47"/>
      <c r="D23" s="107" t="s">
        <v>36</v>
      </c>
      <c r="E23" s="50"/>
      <c r="F23" s="49" t="s">
        <v>26</v>
      </c>
      <c r="G23" s="49" t="s">
        <v>26</v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101"/>
    </row>
    <row r="24" s="1" customFormat="1" customHeight="1" spans="1:20">
      <c r="A24" s="45"/>
      <c r="B24" s="46"/>
      <c r="C24" s="47"/>
      <c r="D24" s="107" t="s">
        <v>37</v>
      </c>
      <c r="E24" s="50"/>
      <c r="F24" s="49"/>
      <c r="G24" s="49"/>
      <c r="H24" s="49" t="s">
        <v>26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101"/>
    </row>
    <row r="25" s="1" customFormat="1" customHeight="1" spans="1:20">
      <c r="A25" s="45"/>
      <c r="B25" s="46"/>
      <c r="C25" s="47"/>
      <c r="D25" s="107" t="s">
        <v>38</v>
      </c>
      <c r="E25" s="50"/>
      <c r="F25" s="49"/>
      <c r="G25" s="49"/>
      <c r="H25" s="49"/>
      <c r="I25" s="49" t="s">
        <v>26</v>
      </c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101"/>
    </row>
    <row r="26" s="1" customFormat="1" customHeight="1" spans="1:20">
      <c r="A26" s="45"/>
      <c r="B26" s="46"/>
      <c r="C26" s="47"/>
      <c r="D26" s="107" t="s">
        <v>39</v>
      </c>
      <c r="E26" s="50"/>
      <c r="F26" s="49"/>
      <c r="G26" s="49"/>
      <c r="H26" s="49"/>
      <c r="I26" s="49"/>
      <c r="J26" s="49" t="s">
        <v>26</v>
      </c>
      <c r="K26" s="49"/>
      <c r="L26" s="49"/>
      <c r="M26" s="49"/>
      <c r="N26" s="49"/>
      <c r="O26" s="49"/>
      <c r="P26" s="49"/>
      <c r="Q26" s="49"/>
      <c r="R26" s="49"/>
      <c r="S26" s="49"/>
      <c r="T26" s="101"/>
    </row>
    <row r="27" s="1" customFormat="1" customHeight="1" spans="1:20">
      <c r="A27" s="52" t="s">
        <v>40</v>
      </c>
      <c r="B27" s="53" t="s">
        <v>41</v>
      </c>
      <c r="C27" s="54"/>
      <c r="D27" s="55"/>
      <c r="E27" s="56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100"/>
    </row>
    <row r="28" s="1" customFormat="1" customHeight="1" spans="1:20">
      <c r="A28" s="57"/>
      <c r="B28" s="58"/>
      <c r="C28" s="59"/>
      <c r="D28" s="60" t="s">
        <v>42</v>
      </c>
      <c r="E28" s="61"/>
      <c r="F28" s="49" t="s">
        <v>26</v>
      </c>
      <c r="G28" s="49"/>
      <c r="H28" s="49"/>
      <c r="I28" s="49"/>
      <c r="J28" s="49" t="s">
        <v>26</v>
      </c>
      <c r="K28" s="49"/>
      <c r="L28" s="49"/>
      <c r="M28" s="49"/>
      <c r="N28" s="49"/>
      <c r="O28" s="49"/>
      <c r="P28" s="49"/>
      <c r="Q28" s="49"/>
      <c r="R28" s="49"/>
      <c r="S28" s="49"/>
      <c r="T28" s="101"/>
    </row>
    <row r="29" s="1" customFormat="1" customHeight="1" spans="1:20">
      <c r="A29" s="57"/>
      <c r="B29" s="58"/>
      <c r="C29" s="62"/>
      <c r="D29" s="60" t="s">
        <v>43</v>
      </c>
      <c r="E29" s="63"/>
      <c r="F29" s="49"/>
      <c r="G29" s="49" t="s">
        <v>26</v>
      </c>
      <c r="H29" s="49" t="s">
        <v>26</v>
      </c>
      <c r="I29" s="49" t="s">
        <v>26</v>
      </c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101"/>
    </row>
    <row r="30" s="1" customFormat="1" customHeight="1" spans="1:20">
      <c r="A30" s="57"/>
      <c r="B30" s="58" t="s">
        <v>44</v>
      </c>
      <c r="C30" s="62"/>
      <c r="D30" s="60"/>
      <c r="E30" s="63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101"/>
    </row>
    <row r="31" s="1" customFormat="1" customHeight="1" spans="1:20">
      <c r="A31" s="57"/>
      <c r="B31" s="58"/>
      <c r="C31" s="62"/>
      <c r="D31" s="60" t="s">
        <v>42</v>
      </c>
      <c r="E31" s="63"/>
      <c r="F31" s="49" t="s">
        <v>26</v>
      </c>
      <c r="G31" s="49"/>
      <c r="H31" s="49"/>
      <c r="I31" s="49"/>
      <c r="J31" s="49" t="s">
        <v>26</v>
      </c>
      <c r="K31" s="49"/>
      <c r="L31" s="49"/>
      <c r="M31" s="49"/>
      <c r="N31" s="49"/>
      <c r="O31" s="49"/>
      <c r="P31" s="49"/>
      <c r="Q31" s="49"/>
      <c r="R31" s="49"/>
      <c r="S31" s="49"/>
      <c r="T31" s="101"/>
    </row>
    <row r="32" s="1" customFormat="1" customHeight="1" spans="1:20">
      <c r="A32" s="57"/>
      <c r="B32" s="58"/>
      <c r="C32" s="62"/>
      <c r="D32" s="60" t="s">
        <v>43</v>
      </c>
      <c r="E32" s="63"/>
      <c r="F32" s="49"/>
      <c r="G32" s="49" t="s">
        <v>26</v>
      </c>
      <c r="H32" s="49" t="s">
        <v>26</v>
      </c>
      <c r="I32" s="49" t="s">
        <v>26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101"/>
    </row>
    <row r="33" s="1" customFormat="1" customHeight="1" spans="1:20">
      <c r="A33" s="52" t="s">
        <v>45</v>
      </c>
      <c r="B33" s="64" t="s">
        <v>46</v>
      </c>
      <c r="C33" s="64"/>
      <c r="D33" s="64"/>
      <c r="E33" s="64"/>
      <c r="F33" s="65" t="s">
        <v>47</v>
      </c>
      <c r="G33" s="65" t="s">
        <v>47</v>
      </c>
      <c r="H33" s="65" t="s">
        <v>47</v>
      </c>
      <c r="I33" s="65" t="s">
        <v>47</v>
      </c>
      <c r="J33" s="65" t="s">
        <v>47</v>
      </c>
      <c r="K33" s="65"/>
      <c r="L33" s="65"/>
      <c r="M33" s="65"/>
      <c r="N33" s="65"/>
      <c r="O33" s="65"/>
      <c r="P33" s="65"/>
      <c r="Q33" s="65"/>
      <c r="R33" s="65"/>
      <c r="S33" s="65"/>
      <c r="T33" s="103"/>
    </row>
    <row r="34" s="1" customFormat="1" customHeight="1" spans="1:20">
      <c r="A34" s="57"/>
      <c r="B34" s="66" t="s">
        <v>48</v>
      </c>
      <c r="C34" s="66"/>
      <c r="D34" s="66"/>
      <c r="E34" s="67"/>
      <c r="F34" s="68" t="s">
        <v>49</v>
      </c>
      <c r="G34" s="68" t="s">
        <v>49</v>
      </c>
      <c r="H34" s="68" t="s">
        <v>49</v>
      </c>
      <c r="I34" s="68" t="s">
        <v>49</v>
      </c>
      <c r="J34" s="68" t="s">
        <v>49</v>
      </c>
      <c r="K34" s="68"/>
      <c r="L34" s="68"/>
      <c r="M34" s="68"/>
      <c r="N34" s="68"/>
      <c r="O34" s="68"/>
      <c r="P34" s="68"/>
      <c r="Q34" s="68"/>
      <c r="R34" s="68"/>
      <c r="S34" s="68"/>
      <c r="T34" s="104"/>
    </row>
    <row r="35" s="1" customFormat="1" customHeight="1" spans="1:20">
      <c r="A35" s="57"/>
      <c r="B35" s="69" t="s">
        <v>50</v>
      </c>
      <c r="C35" s="69"/>
      <c r="D35" s="69"/>
      <c r="E35" s="70"/>
      <c r="F35" s="71" t="s">
        <v>51</v>
      </c>
      <c r="G35" s="72" t="s">
        <v>51</v>
      </c>
      <c r="H35" s="72" t="s">
        <v>51</v>
      </c>
      <c r="I35" s="72" t="s">
        <v>51</v>
      </c>
      <c r="J35" s="72" t="s">
        <v>51</v>
      </c>
      <c r="K35" s="72"/>
      <c r="L35" s="72"/>
      <c r="M35" s="72"/>
      <c r="N35" s="72"/>
      <c r="O35" s="72"/>
      <c r="P35" s="72"/>
      <c r="Q35" s="72"/>
      <c r="R35" s="72"/>
      <c r="S35" s="72"/>
      <c r="T35" s="105"/>
    </row>
    <row r="36" s="1" customFormat="1" ht="10.95" spans="1:20">
      <c r="A36" s="73"/>
      <c r="B36" s="74" t="s">
        <v>52</v>
      </c>
      <c r="C36" s="74"/>
      <c r="D36" s="74"/>
      <c r="E36" s="75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106"/>
    </row>
    <row r="37" s="1" customFormat="1" ht="10.95" spans="1:4">
      <c r="A37" s="77"/>
      <c r="B37" s="2"/>
      <c r="D37" s="3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19:E19"/>
    <mergeCell ref="B33:D33"/>
    <mergeCell ref="B34:D34"/>
    <mergeCell ref="B35:D35"/>
    <mergeCell ref="B36:D36"/>
  </mergeCells>
  <dataValidations count="3">
    <dataValidation type="list" allowBlank="1" showInputMessage="1" showErrorMessage="1" sqref="F14 G14 H14:T14 F15:G15 H15 I15:T15 F16:H16 I16 J16:T16 F17:I17 J17 K17:T17 F18:T18 F19 G19 H19:T19 F20:G20 H20 I20:T20 F21:H21 I21 J21 K21:T21 F22:T22 F23 G23 H23:T23 F24:G24 H24 I24:T24 F25:H25 I25 J25:T25 F26:I26 J26 K26:T26 F27:T27 F28:I28 J28 K28:T28 F29 G29 H29 I29 J29:T29 F30:T30 F31 G31:I31 J31 K31:T31 F32 G32 H32 I32 J32:T32 F10:T11 F12:T13">
      <formula1>"O, "</formula1>
    </dataValidation>
    <dataValidation type="list" allowBlank="1" showInputMessage="1" showErrorMessage="1" sqref="F33:T33">
      <formula1>"N,A,B, "</formula1>
    </dataValidation>
    <dataValidation type="list" allowBlank="1" showInputMessage="1" showErrorMessage="1" sqref="F34:T34">
      <formula1>"P,F, 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ANH TUAN</dc:creator>
  <cp:lastModifiedBy>Le Anh Tuan</cp:lastModifiedBy>
  <dcterms:created xsi:type="dcterms:W3CDTF">2026-03-12T07:04:00Z</dcterms:created>
  <dcterms:modified xsi:type="dcterms:W3CDTF">2026-03-13T05:46:35Z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0514CA01F0F94FF88C80965D8243E4A7_11</vt:lpwstr>
  </property>
  <property fmtid="{D5CDD505-2E9C-101B-9397-08002B2CF9AE}" pid="3" name="KSOProductBuildVer">
    <vt:lpwstr>2057-12.2.0.23197</vt:lpwstr>
  </property>
</Properties>
</file>